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3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16" i="1"/>
  <c r="H15" i="1"/>
  <c r="H14" i="1"/>
  <c r="H13" i="1"/>
  <c r="H12" i="1"/>
  <c r="H11" i="1"/>
  <c r="H10" i="1"/>
  <c r="H9" i="1"/>
  <c r="H8" i="1"/>
  <c r="H7" i="1"/>
  <c r="H6" i="1"/>
  <c r="H4" i="1"/>
  <c r="H3" i="1"/>
</calcChain>
</file>

<file path=xl/sharedStrings.xml><?xml version="1.0" encoding="utf-8"?>
<sst xmlns="http://schemas.openxmlformats.org/spreadsheetml/2006/main" count="38" uniqueCount="25">
  <si>
    <t>NAMA</t>
  </si>
  <si>
    <t>KELAS</t>
  </si>
  <si>
    <t>MATEMATIKA</t>
  </si>
  <si>
    <t>B.INDONESIA</t>
  </si>
  <si>
    <t>B.INGGRIS</t>
  </si>
  <si>
    <t>PRODUKTIF</t>
  </si>
  <si>
    <t>RATA RATA</t>
  </si>
  <si>
    <t>NO</t>
  </si>
  <si>
    <t>Andi</t>
  </si>
  <si>
    <t>Citra</t>
  </si>
  <si>
    <t>Gina</t>
  </si>
  <si>
    <t>Anah</t>
  </si>
  <si>
    <t>Rafiq</t>
  </si>
  <si>
    <t>Yusuf</t>
  </si>
  <si>
    <t>Ikmal</t>
  </si>
  <si>
    <t>Rakha</t>
  </si>
  <si>
    <t>Lucky</t>
  </si>
  <si>
    <t>Harda</t>
  </si>
  <si>
    <t>Bilqis</t>
  </si>
  <si>
    <t>Arya</t>
  </si>
  <si>
    <t>Dikha</t>
  </si>
  <si>
    <t>Cikal</t>
  </si>
  <si>
    <t>Nikho</t>
  </si>
  <si>
    <t>X PPLG 2</t>
  </si>
  <si>
    <t>X PPLG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</si>
</sst>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3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Sheet1!$B$2:$C$2</c:f>
              <c:strCache>
                <c:ptCount val="2"/>
                <c:pt idx="0">
                  <c:v>Andi</c:v>
                </c:pt>
                <c:pt idx="1">
                  <c:v>X PPLG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Sheet1!$D$2:$H$2</c:f>
              <c:numCache>
                <c:formatCode>General</c:formatCode>
                <c:ptCount val="5"/>
                <c:pt idx="0">
                  <c:v>95</c:v>
                </c:pt>
                <c:pt idx="1">
                  <c:v>95</c:v>
                </c:pt>
                <c:pt idx="2">
                  <c:v>90</c:v>
                </c:pt>
                <c:pt idx="3">
                  <c:v>100</c:v>
                </c:pt>
                <c:pt idx="4">
                  <c:v>93.3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7-4F3C-A636-A97D3E9EC70F}"/>
            </c:ext>
          </c:extLst>
        </c:ser>
        <c:ser>
          <c:idx val="1"/>
          <c:order val="1"/>
          <c:tx>
            <c:strRef>
              <c:f>Sheet1!$B$3:$C$3</c:f>
              <c:strCache>
                <c:ptCount val="2"/>
                <c:pt idx="0">
                  <c:v>Citra</c:v>
                </c:pt>
                <c:pt idx="1">
                  <c:v>X PPLG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Sheet1!$D$3:$H$3</c:f>
              <c:numCache>
                <c:formatCode>General</c:formatCode>
                <c:ptCount val="5"/>
                <c:pt idx="0">
                  <c:v>98</c:v>
                </c:pt>
                <c:pt idx="1">
                  <c:v>95</c:v>
                </c:pt>
                <c:pt idx="2">
                  <c:v>97</c:v>
                </c:pt>
                <c:pt idx="3">
                  <c:v>100</c:v>
                </c:pt>
                <c:pt idx="4" formatCode="0.0">
                  <c:v>96.666666666666671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07-4F3C-A636-A97D3E9EC70F}"/>
            </c:ext>
          </c:extLst>
        </c:ser>
        <c:ser>
          <c:idx val="2"/>
          <c:order val="2"/>
          <c:tx>
            <c:strRef>
              <c:f>Sheet1!$B$4:$C$4</c:f>
              <c:strCache>
                <c:ptCount val="2"/>
                <c:pt idx="0">
                  <c:v>Gina</c:v>
                </c:pt>
                <c:pt idx="1">
                  <c:v>X PPLG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Sheet1!$D$4:$H$4</c:f>
              <c:numCache>
                <c:formatCode>General</c:formatCode>
                <c:ptCount val="5"/>
                <c:pt idx="0">
                  <c:v>96</c:v>
                </c:pt>
                <c:pt idx="1">
                  <c:v>98</c:v>
                </c:pt>
                <c:pt idx="2">
                  <c:v>95</c:v>
                </c:pt>
                <c:pt idx="3">
                  <c:v>95</c:v>
                </c:pt>
                <c:pt idx="4" formatCode="0.0">
                  <c:v>96.333333333333329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07-4F3C-A636-A97D3E9EC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528152"/>
        <c:axId val="367526840"/>
      </c:radarChart>
      <c:catAx>
        <c:axId val="367528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526840"/>
        <c:crosses val="autoZero"/>
        <c:auto val="1"/>
        <c:lblAlgn val="ctr"/>
        <c:lblOffset val="100"/>
        <c:noMultiLvlLbl val="0"/>
      </c:catAx>
      <c:valAx>
        <c:axId val="36752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52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RATA RATA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Andi</c:v>
                </c:pt>
                <c:pt idx="1">
                  <c:v>Citra</c:v>
                </c:pt>
                <c:pt idx="2">
                  <c:v>Gina</c:v>
                </c:pt>
                <c:pt idx="3">
                  <c:v>Anah</c:v>
                </c:pt>
                <c:pt idx="4">
                  <c:v>Rafiq</c:v>
                </c:pt>
                <c:pt idx="5">
                  <c:v>Yusuf</c:v>
                </c:pt>
                <c:pt idx="6">
                  <c:v>Ikmal</c:v>
                </c:pt>
                <c:pt idx="7">
                  <c:v>Rakha</c:v>
                </c:pt>
                <c:pt idx="8">
                  <c:v>Lucky</c:v>
                </c:pt>
                <c:pt idx="9">
                  <c:v>Harda</c:v>
                </c:pt>
                <c:pt idx="10">
                  <c:v>Bilqis</c:v>
                </c:pt>
                <c:pt idx="11">
                  <c:v>Arya</c:v>
                </c:pt>
                <c:pt idx="12">
                  <c:v>Dikha</c:v>
                </c:pt>
                <c:pt idx="13">
                  <c:v>Cikal</c:v>
                </c:pt>
                <c:pt idx="14">
                  <c:v>Nikho</c:v>
                </c:pt>
              </c:strCache>
            </c:strRef>
          </c:cat>
          <c:val>
            <c:numRef>
              <c:f>Sheet1!$H$2:$H$16</c:f>
              <c:numCache>
                <c:formatCode>0.0</c:formatCode>
                <c:ptCount val="15"/>
                <c:pt idx="0" formatCode="General">
                  <c:v>93.3</c:v>
                </c:pt>
                <c:pt idx="1">
                  <c:v>96.666666666666671</c:v>
                </c:pt>
                <c:pt idx="2">
                  <c:v>96.333333333333329</c:v>
                </c:pt>
                <c:pt idx="3">
                  <c:v>94.333333333333329</c:v>
                </c:pt>
                <c:pt idx="4">
                  <c:v>90</c:v>
                </c:pt>
                <c:pt idx="5">
                  <c:v>88</c:v>
                </c:pt>
                <c:pt idx="6">
                  <c:v>88</c:v>
                </c:pt>
                <c:pt idx="7">
                  <c:v>88</c:v>
                </c:pt>
                <c:pt idx="8">
                  <c:v>81.666666666666671</c:v>
                </c:pt>
                <c:pt idx="9">
                  <c:v>80.333333333333329</c:v>
                </c:pt>
                <c:pt idx="10">
                  <c:v>83.666666666666671</c:v>
                </c:pt>
                <c:pt idx="11">
                  <c:v>80.666666666666671</c:v>
                </c:pt>
                <c:pt idx="12">
                  <c:v>78.666666666666671</c:v>
                </c:pt>
                <c:pt idx="13">
                  <c:v>84</c:v>
                </c:pt>
                <c:pt idx="1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3-4646-91D5-1800F9622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4327888"/>
        <c:axId val="364328544"/>
      </c:barChart>
      <c:catAx>
        <c:axId val="36432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28544"/>
        <c:crosses val="autoZero"/>
        <c:auto val="1"/>
        <c:lblAlgn val="ctr"/>
        <c:lblOffset val="100"/>
        <c:noMultiLvlLbl val="0"/>
      </c:catAx>
      <c:valAx>
        <c:axId val="36432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2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Sheet1!$H$1</c:f>
              <c:strCache>
                <c:ptCount val="1"/>
                <c:pt idx="0">
                  <c:v>RATA RATA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Sheet1!$H$2:$H$16</c:f>
              <c:numCache>
                <c:formatCode>0.0</c:formatCode>
                <c:ptCount val="15"/>
                <c:pt idx="0" formatCode="General">
                  <c:v>93.3</c:v>
                </c:pt>
                <c:pt idx="1">
                  <c:v>96.666666666666671</c:v>
                </c:pt>
                <c:pt idx="2">
                  <c:v>96.333333333333329</c:v>
                </c:pt>
                <c:pt idx="3">
                  <c:v>94.333333333333329</c:v>
                </c:pt>
                <c:pt idx="4">
                  <c:v>90</c:v>
                </c:pt>
                <c:pt idx="5">
                  <c:v>88</c:v>
                </c:pt>
                <c:pt idx="6">
                  <c:v>88</c:v>
                </c:pt>
                <c:pt idx="7">
                  <c:v>88</c:v>
                </c:pt>
                <c:pt idx="8">
                  <c:v>81.666666666666671</c:v>
                </c:pt>
                <c:pt idx="9">
                  <c:v>80.333333333333329</c:v>
                </c:pt>
                <c:pt idx="10">
                  <c:v>83.666666666666671</c:v>
                </c:pt>
                <c:pt idx="11">
                  <c:v>80.666666666666671</c:v>
                </c:pt>
                <c:pt idx="12">
                  <c:v>78.666666666666671</c:v>
                </c:pt>
                <c:pt idx="13">
                  <c:v>84</c:v>
                </c:pt>
                <c:pt idx="1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6-4DFA-B716-5300F7865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0</xdr:row>
      <xdr:rowOff>0</xdr:rowOff>
    </xdr:from>
    <xdr:to>
      <xdr:col>16</xdr:col>
      <xdr:colOff>180975</xdr:colOff>
      <xdr:row>15</xdr:row>
      <xdr:rowOff>190499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9525</xdr:rowOff>
    </xdr:from>
    <xdr:to>
      <xdr:col>10</xdr:col>
      <xdr:colOff>342900</xdr:colOff>
      <xdr:row>30</xdr:row>
      <xdr:rowOff>85725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314325</xdr:colOff>
      <xdr:row>16</xdr:row>
      <xdr:rowOff>9525</xdr:rowOff>
    </xdr:from>
    <xdr:to>
      <xdr:col>16</xdr:col>
      <xdr:colOff>180975</xdr:colOff>
      <xdr:row>30</xdr:row>
      <xdr:rowOff>85724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Q14" sqref="Q14"/>
    </sheetView>
  </sheetViews>
  <sheetFormatPr defaultRowHeight="15" x14ac:dyDescent="0.25"/>
  <cols>
    <col min="1" max="1" width="4.28515625" customWidth="1"/>
    <col min="4" max="4" width="16.5703125" customWidth="1"/>
    <col min="5" max="5" width="16.42578125" customWidth="1"/>
    <col min="6" max="6" width="12.140625" customWidth="1"/>
    <col min="7" max="8" width="12.7109375" customWidth="1"/>
  </cols>
  <sheetData>
    <row r="1" spans="1:8" ht="20.25" customHeight="1" x14ac:dyDescent="0.25">
      <c r="A1" s="6" t="s">
        <v>7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x14ac:dyDescent="0.25">
      <c r="A2" s="3">
        <v>1</v>
      </c>
      <c r="B2" s="4" t="s">
        <v>8</v>
      </c>
      <c r="C2" s="1" t="s">
        <v>24</v>
      </c>
      <c r="D2" s="2">
        <v>95</v>
      </c>
      <c r="E2" s="2">
        <v>95</v>
      </c>
      <c r="F2" s="2">
        <v>90</v>
      </c>
      <c r="G2" s="2">
        <v>100</v>
      </c>
      <c r="H2" s="3">
        <v>93.3</v>
      </c>
    </row>
    <row r="3" spans="1:8" x14ac:dyDescent="0.25">
      <c r="A3" s="3">
        <v>2</v>
      </c>
      <c r="B3" s="4" t="s">
        <v>9</v>
      </c>
      <c r="C3" s="1" t="s">
        <v>23</v>
      </c>
      <c r="D3" s="2">
        <v>98</v>
      </c>
      <c r="E3" s="2">
        <v>95</v>
      </c>
      <c r="F3" s="2">
        <v>97</v>
      </c>
      <c r="G3" s="2">
        <v>100</v>
      </c>
      <c r="H3" s="5">
        <f t="shared" ref="H3:H16" si="0">AVERAGE(D3:F3)</f>
        <v>96.666666666666671</v>
      </c>
    </row>
    <row r="4" spans="1:8" x14ac:dyDescent="0.25">
      <c r="A4" s="3">
        <v>3</v>
      </c>
      <c r="B4" s="4" t="s">
        <v>10</v>
      </c>
      <c r="C4" s="1" t="s">
        <v>24</v>
      </c>
      <c r="D4" s="2">
        <v>96</v>
      </c>
      <c r="E4" s="2">
        <v>98</v>
      </c>
      <c r="F4" s="2">
        <v>95</v>
      </c>
      <c r="G4" s="2">
        <v>95</v>
      </c>
      <c r="H4" s="5">
        <f t="shared" si="0"/>
        <v>96.333333333333329</v>
      </c>
    </row>
    <row r="5" spans="1:8" x14ac:dyDescent="0.25">
      <c r="A5" s="3">
        <v>4</v>
      </c>
      <c r="B5" s="4" t="s">
        <v>11</v>
      </c>
      <c r="C5" s="1" t="s">
        <v>24</v>
      </c>
      <c r="D5" s="2">
        <v>94</v>
      </c>
      <c r="E5" s="2">
        <v>94</v>
      </c>
      <c r="F5" s="2">
        <v>95</v>
      </c>
      <c r="G5" s="2">
        <v>95</v>
      </c>
      <c r="H5" s="5">
        <f>AVERAGE(D5:F5)</f>
        <v>94.333333333333329</v>
      </c>
    </row>
    <row r="6" spans="1:8" x14ac:dyDescent="0.25">
      <c r="A6" s="3">
        <v>5</v>
      </c>
      <c r="B6" s="4" t="s">
        <v>12</v>
      </c>
      <c r="C6" s="1" t="s">
        <v>23</v>
      </c>
      <c r="D6" s="2">
        <v>91</v>
      </c>
      <c r="E6" s="2">
        <v>89</v>
      </c>
      <c r="F6" s="2">
        <v>90</v>
      </c>
      <c r="G6" s="2">
        <v>90</v>
      </c>
      <c r="H6" s="5">
        <f t="shared" si="0"/>
        <v>90</v>
      </c>
    </row>
    <row r="7" spans="1:8" x14ac:dyDescent="0.25">
      <c r="A7" s="3">
        <v>6</v>
      </c>
      <c r="B7" s="4" t="s">
        <v>13</v>
      </c>
      <c r="C7" s="1" t="s">
        <v>23</v>
      </c>
      <c r="D7" s="2">
        <v>87</v>
      </c>
      <c r="E7" s="2">
        <v>85</v>
      </c>
      <c r="F7" s="2">
        <v>92</v>
      </c>
      <c r="G7" s="2">
        <v>100</v>
      </c>
      <c r="H7" s="5">
        <f t="shared" si="0"/>
        <v>88</v>
      </c>
    </row>
    <row r="8" spans="1:8" x14ac:dyDescent="0.25">
      <c r="A8" s="3">
        <v>7</v>
      </c>
      <c r="B8" s="4" t="s">
        <v>14</v>
      </c>
      <c r="C8" s="1" t="s">
        <v>23</v>
      </c>
      <c r="D8" s="2">
        <v>82</v>
      </c>
      <c r="E8" s="2">
        <v>86</v>
      </c>
      <c r="F8" s="2">
        <v>96</v>
      </c>
      <c r="G8" s="2">
        <v>87</v>
      </c>
      <c r="H8" s="5">
        <f t="shared" si="0"/>
        <v>88</v>
      </c>
    </row>
    <row r="9" spans="1:8" x14ac:dyDescent="0.25">
      <c r="A9" s="3">
        <v>8</v>
      </c>
      <c r="B9" s="4" t="s">
        <v>15</v>
      </c>
      <c r="C9" s="1" t="s">
        <v>24</v>
      </c>
      <c r="D9" s="2">
        <v>84</v>
      </c>
      <c r="E9" s="2">
        <v>87</v>
      </c>
      <c r="F9" s="2">
        <v>93</v>
      </c>
      <c r="G9" s="2">
        <v>95</v>
      </c>
      <c r="H9" s="5">
        <f t="shared" si="0"/>
        <v>88</v>
      </c>
    </row>
    <row r="10" spans="1:8" x14ac:dyDescent="0.25">
      <c r="A10" s="3">
        <v>9</v>
      </c>
      <c r="B10" s="4" t="s">
        <v>16</v>
      </c>
      <c r="C10" s="1" t="s">
        <v>24</v>
      </c>
      <c r="D10" s="2">
        <v>80</v>
      </c>
      <c r="E10" s="2">
        <v>83</v>
      </c>
      <c r="F10" s="2">
        <v>82</v>
      </c>
      <c r="G10" s="2">
        <v>97</v>
      </c>
      <c r="H10" s="5">
        <f t="shared" si="0"/>
        <v>81.666666666666671</v>
      </c>
    </row>
    <row r="11" spans="1:8" x14ac:dyDescent="0.25">
      <c r="A11" s="3">
        <v>10</v>
      </c>
      <c r="B11" s="4" t="s">
        <v>17</v>
      </c>
      <c r="C11" s="1" t="s">
        <v>24</v>
      </c>
      <c r="D11" s="2">
        <v>76</v>
      </c>
      <c r="E11" s="2">
        <v>80</v>
      </c>
      <c r="F11" s="2">
        <v>85</v>
      </c>
      <c r="G11" s="2">
        <v>83</v>
      </c>
      <c r="H11" s="5">
        <f t="shared" si="0"/>
        <v>80.333333333333329</v>
      </c>
    </row>
    <row r="12" spans="1:8" x14ac:dyDescent="0.25">
      <c r="A12" s="3">
        <v>11</v>
      </c>
      <c r="B12" s="4" t="s">
        <v>18</v>
      </c>
      <c r="C12" s="1" t="s">
        <v>23</v>
      </c>
      <c r="D12" s="2">
        <v>79</v>
      </c>
      <c r="E12" s="2">
        <v>76</v>
      </c>
      <c r="F12" s="2">
        <v>96</v>
      </c>
      <c r="G12" s="2">
        <v>75</v>
      </c>
      <c r="H12" s="5">
        <f t="shared" si="0"/>
        <v>83.666666666666671</v>
      </c>
    </row>
    <row r="13" spans="1:8" x14ac:dyDescent="0.25">
      <c r="A13" s="3">
        <v>12</v>
      </c>
      <c r="B13" s="4" t="s">
        <v>19</v>
      </c>
      <c r="C13" s="1" t="s">
        <v>23</v>
      </c>
      <c r="D13" s="2">
        <v>67</v>
      </c>
      <c r="E13" s="2">
        <v>90</v>
      </c>
      <c r="F13" s="2">
        <v>85</v>
      </c>
      <c r="G13" s="2">
        <v>86</v>
      </c>
      <c r="H13" s="5">
        <f t="shared" si="0"/>
        <v>80.666666666666671</v>
      </c>
    </row>
    <row r="14" spans="1:8" x14ac:dyDescent="0.25">
      <c r="A14" s="3">
        <v>13</v>
      </c>
      <c r="B14" s="4" t="s">
        <v>20</v>
      </c>
      <c r="C14" s="1" t="s">
        <v>24</v>
      </c>
      <c r="D14" s="2">
        <v>75</v>
      </c>
      <c r="E14" s="2">
        <v>82</v>
      </c>
      <c r="F14" s="2">
        <v>79</v>
      </c>
      <c r="G14" s="2">
        <v>76</v>
      </c>
      <c r="H14" s="5">
        <f t="shared" si="0"/>
        <v>78.666666666666671</v>
      </c>
    </row>
    <row r="15" spans="1:8" x14ac:dyDescent="0.25">
      <c r="A15" s="3">
        <v>14</v>
      </c>
      <c r="B15" s="4" t="s">
        <v>21</v>
      </c>
      <c r="C15" s="1" t="s">
        <v>23</v>
      </c>
      <c r="D15" s="2">
        <v>81</v>
      </c>
      <c r="E15" s="2">
        <v>87</v>
      </c>
      <c r="F15" s="2">
        <v>84</v>
      </c>
      <c r="G15" s="2">
        <v>79</v>
      </c>
      <c r="H15" s="5">
        <f t="shared" si="0"/>
        <v>84</v>
      </c>
    </row>
    <row r="16" spans="1:8" x14ac:dyDescent="0.25">
      <c r="A16" s="3">
        <v>15</v>
      </c>
      <c r="B16" s="4" t="s">
        <v>22</v>
      </c>
      <c r="C16" s="1" t="s">
        <v>24</v>
      </c>
      <c r="D16" s="2">
        <v>85</v>
      </c>
      <c r="E16" s="2">
        <v>92</v>
      </c>
      <c r="F16" s="2">
        <v>87</v>
      </c>
      <c r="G16" s="2">
        <v>92</v>
      </c>
      <c r="H16" s="5">
        <f t="shared" si="0"/>
        <v>88</v>
      </c>
    </row>
  </sheetData>
  <conditionalFormatting sqref="C2:H1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2026-08-06T08:39:09Z</dcterms:created>
  <dcterms:modified xsi:type="dcterms:W3CDTF">2026-08-06T12:07:51Z</dcterms:modified>
</cp:coreProperties>
</file>